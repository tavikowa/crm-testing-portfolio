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projects\crm-testing-portfolio\01_Functional_Testing_CRM\"/>
    </mc:Choice>
  </mc:AlternateContent>
  <xr:revisionPtr revIDLastSave="0" documentId="13_ncr:1_{106C767D-D5B1-428B-895C-7F6460475036}" xr6:coauthVersionLast="47" xr6:coauthVersionMax="47" xr10:uidLastSave="{00000000-0000-0000-0000-000000000000}"/>
  <bookViews>
    <workbookView xWindow="-120" yWindow="-120" windowWidth="29040" windowHeight="15720" activeTab="1" xr2:uid="{B1DEE406-8DEF-41CE-B223-1312614C5C30}"/>
  </bookViews>
  <sheets>
    <sheet name="Dashboard" sheetId="6" r:id="rId1"/>
    <sheet name="01_Leads" sheetId="1" r:id="rId2"/>
    <sheet name="02_Opportunities" sheetId="4" r:id="rId3"/>
    <sheet name="03_Security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6" l="1"/>
  <c r="E13" i="6"/>
  <c r="D13" i="6"/>
  <c r="C13" i="6"/>
  <c r="F12" i="6"/>
  <c r="E12" i="6"/>
  <c r="D12" i="6"/>
  <c r="G12" i="6" s="1"/>
  <c r="C12" i="6"/>
  <c r="C11" i="6"/>
  <c r="E11" i="6"/>
  <c r="F11" i="6"/>
  <c r="D11" i="6"/>
  <c r="G11" i="6" s="1"/>
  <c r="B13" i="6"/>
  <c r="B12" i="6"/>
  <c r="B11" i="6"/>
  <c r="B14" i="6" l="1"/>
  <c r="G13" i="6"/>
  <c r="F14" i="6"/>
  <c r="D14" i="6"/>
  <c r="C14" i="6"/>
  <c r="E14" i="6"/>
  <c r="G14" i="6" l="1"/>
</calcChain>
</file>

<file path=xl/sharedStrings.xml><?xml version="1.0" encoding="utf-8"?>
<sst xmlns="http://schemas.openxmlformats.org/spreadsheetml/2006/main" count="193" uniqueCount="86">
  <si>
    <t>TC ID</t>
  </si>
  <si>
    <t>Title</t>
  </si>
  <si>
    <t>Description</t>
  </si>
  <si>
    <t>Pre-conditions</t>
  </si>
  <si>
    <t>Test Steps</t>
  </si>
  <si>
    <t>Test Data</t>
  </si>
  <si>
    <t>Expected Results</t>
  </si>
  <si>
    <t>Status</t>
  </si>
  <si>
    <t>1. Maps to "Sales" -&gt; "Leads".
2. Click "Create Lead" button.
3. Enter "Smith" in the "Last Name" field.
4. Click "Save" button.</t>
  </si>
  <si>
    <t>Last Name: Smith</t>
  </si>
  <si>
    <t>Pass</t>
  </si>
  <si>
    <t>System saves the Lead. User is redirected to the newly created Lead overwiew page. "Smith" is visible in the Leads list.</t>
  </si>
  <si>
    <t>1. User is logged in
2. Dashboard is displayed.</t>
  </si>
  <si>
    <t>Verify creating a new Lead with mandatory fields.</t>
  </si>
  <si>
    <t>Verify validation when mandatory field is missing while creating a new Lead.</t>
  </si>
  <si>
    <t>Missing field in creating a new Lead.</t>
  </si>
  <si>
    <t>Creating a new Lead.</t>
  </si>
  <si>
    <t>1. Leave "Last Name" field empty.
2. Click "Save" button.</t>
  </si>
  <si>
    <t>Last Name: [empty]</t>
  </si>
  <si>
    <t>1. User is logged in
2. User is on the "Create Lead" page.</t>
  </si>
  <si>
    <t>System does not save the Lead due to missing required field. Suitable error message is displayed.</t>
  </si>
  <si>
    <t>1. User is logged in
2. Dashboard is displayed.
3. Existing Lead "Smith" with status "New" is available.</t>
  </si>
  <si>
    <t>Lead conversion to Contact &amp; Account workflow.</t>
  </si>
  <si>
    <t>Verify workflow of conversion from Lead to Contact &amp; Account.</t>
  </si>
  <si>
    <t>Account Name: Tech-Corp</t>
  </si>
  <si>
    <t>1. Open Lead "Smith" details.
2. Click "Actions" dropdown menu.
3. Select "Convert Lead".
4. On the conversion screen, ensure "Create Contact" &amp; "Create Account" checkboxes are selected.
5. In "Create Account" enter "Tech-Corp" in the Name" field
6. Click "Save".</t>
  </si>
  <si>
    <t>Lead "Smith" status changes to "Converted". A new record in "Contacts" module is created with the same data. 
User is redirected to a page informing, that new Contact and Account have been created.</t>
  </si>
  <si>
    <t>Editing existing Lead</t>
  </si>
  <si>
    <t>Verify editing existing Lead by adding a phone number.</t>
  </si>
  <si>
    <t>1. User is logged in
2. Dashboard is displayed.
3. Existing Lead "Smith" is available.</t>
  </si>
  <si>
    <t>1. Open Lead "Smith" details.
2. Click "Actions" dropdown menu.
3. Select "Edit".
4. Add "111222333" in the "Mobile" field
5. Click "Save"</t>
  </si>
  <si>
    <t>Mobile: 111222333</t>
  </si>
  <si>
    <t>User is redirected to the   "Smith" Lead page, added phone number is visible.</t>
  </si>
  <si>
    <t>Type</t>
  </si>
  <si>
    <t>Happy Path</t>
  </si>
  <si>
    <t>Negative Path</t>
  </si>
  <si>
    <t>Priority</t>
  </si>
  <si>
    <t>Critical</t>
  </si>
  <si>
    <t>TC_L_001</t>
  </si>
  <si>
    <t>TC_L_002</t>
  </si>
  <si>
    <t>TC_L_003</t>
  </si>
  <si>
    <t>TC_L_004</t>
  </si>
  <si>
    <t>High</t>
  </si>
  <si>
    <t>1. Open Lead "Smith" details.
2. Click "Actions" dropdown menu.
3. Select "Convert Lead".
4. On the conversion screen, ensure "Create Contact" &amp; "Create Account" checkboxes are selected.
5. In "Create Account" enter "Tech-Corp" in the "Name" field
6. Click "Save".</t>
  </si>
  <si>
    <t>Project Name</t>
  </si>
  <si>
    <t>SuiteCRM Workflow Validation</t>
  </si>
  <si>
    <t>Version</t>
  </si>
  <si>
    <t>1.0 (Demo Environment)</t>
  </si>
  <si>
    <t>QA Engineer</t>
  </si>
  <si>
    <t>Test Cycle</t>
  </si>
  <si>
    <t>Sprint 1 - Regression</t>
  </si>
  <si>
    <t>Date</t>
  </si>
  <si>
    <t>Oktawia Kowalewska</t>
  </si>
  <si>
    <t>Module Name</t>
  </si>
  <si>
    <t>Total Cases</t>
  </si>
  <si>
    <t>Executed</t>
  </si>
  <si>
    <t>Pass Rate %</t>
  </si>
  <si>
    <t>01_Leads</t>
  </si>
  <si>
    <t>02_Opportunities</t>
  </si>
  <si>
    <t>03_Security</t>
  </si>
  <si>
    <t>TOTAL</t>
  </si>
  <si>
    <t xml:space="preserve">Failed </t>
  </si>
  <si>
    <t xml:space="preserve">Passed  </t>
  </si>
  <si>
    <t>Blocked</t>
  </si>
  <si>
    <t>Invalid mobile field</t>
  </si>
  <si>
    <t>1. Enter "TestingNumber!@#$%^&amp;&amp;*()" in the "Mobile" field
2. Click "Save" button.</t>
  </si>
  <si>
    <t xml:space="preserve">
Mobile: TestingNumber!@#$%^&amp;&amp;*()</t>
  </si>
  <si>
    <t>1. User is logged in
2. User is on the "Create Lead" page.
3. All required fields are completed correctly.</t>
  </si>
  <si>
    <t>System does not save the Lead due to incorrect characters in "Mobile" field. Suitable error message is displayed.</t>
  </si>
  <si>
    <t>Fail</t>
  </si>
  <si>
    <t>Medium</t>
  </si>
  <si>
    <t>Bug</t>
  </si>
  <si>
    <t>Bug_001_Lead_Phone_Val</t>
  </si>
  <si>
    <t>Invalid email format</t>
  </si>
  <si>
    <t>Verify when mandatory field is missing while creating a new Lead.</t>
  </si>
  <si>
    <t>Verify when "Mobile" field includes special chars and letters.</t>
  </si>
  <si>
    <t>Check validation for "Email" field when "@" is missing.</t>
  </si>
  <si>
    <t>1. Enter "Testing.Email.com" in the "Email" field
2. Click "Save" button.</t>
  </si>
  <si>
    <t>Email: Testing.Email.com</t>
  </si>
  <si>
    <t>System does not save the Lead due to incorrect "Email" field. Suitable error message is displayed.</t>
  </si>
  <si>
    <t>TC_L_005</t>
  </si>
  <si>
    <t>TC_L_006</t>
  </si>
  <si>
    <t>Removing required data from existing Lead</t>
  </si>
  <si>
    <t>Verify removing required data from "Last Name" field from a Lead</t>
  </si>
  <si>
    <t>1. Open Lead "Smith" details.
2. Click "Actions" dropdown menu.
3. Select "Edit".
4. Clear "Last Name" field
5. Click "Save"</t>
  </si>
  <si>
    <t>TC_L_007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</si>
</sst>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sz val="11"/>
      <color rgb="FF1F1F1F"/>
      <name val="Arial"/>
      <family val="2"/>
      <charset val="238"/>
    </font>
    <font>
      <b/>
      <sz val="11"/>
      <color rgb="FF1F1F1F"/>
      <name val="Arial"/>
      <family val="2"/>
      <charset val="238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</fills>
  <borders count="3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1" applyNumberFormat="0" applyAlignment="0" applyProtection="0"/>
    <xf numFmtId="0" fontId="5" fillId="5" borderId="0" applyNumberFormat="0" applyBorder="0" applyAlignment="0" applyProtection="0"/>
    <xf numFmtId="0" fontId="1" fillId="6" borderId="0" applyNumberFormat="0" applyBorder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0" fontId="7" fillId="0" borderId="2" xfId="0" applyFont="1" applyBorder="1" applyAlignment="1">
      <alignment horizontal="left" vertical="center" wrapText="1" indent="1" readingOrder="1"/>
    </xf>
    <xf numFmtId="0" fontId="6" fillId="0" borderId="2" xfId="0" applyFont="1" applyBorder="1" applyAlignment="1">
      <alignment horizontal="left" vertical="center" wrapText="1" indent="1" readingOrder="1"/>
    </xf>
    <xf numFmtId="14" fontId="6" fillId="0" borderId="2" xfId="0" applyNumberFormat="1" applyFont="1" applyBorder="1" applyAlignment="1">
      <alignment horizontal="left" vertical="center" wrapText="1" indent="1" readingOrder="1"/>
    </xf>
    <xf numFmtId="0" fontId="7" fillId="0" borderId="0" xfId="0" applyFont="1" applyAlignment="1">
      <alignment horizontal="left" vertical="center" wrapText="1" indent="1" readingOrder="1"/>
    </xf>
    <xf numFmtId="0" fontId="6" fillId="0" borderId="0" xfId="0" applyFont="1" applyAlignment="1">
      <alignment horizontal="left" vertical="center" wrapText="1" indent="1" readingOrder="1"/>
    </xf>
    <xf numFmtId="14" fontId="6" fillId="0" borderId="0" xfId="0" applyNumberFormat="1" applyFont="1" applyAlignment="1">
      <alignment horizontal="left" vertical="center" wrapText="1" indent="1" readingOrder="1"/>
    </xf>
    <xf numFmtId="9" fontId="6" fillId="0" borderId="2" xfId="0" applyNumberFormat="1" applyFont="1" applyBorder="1" applyAlignment="1">
      <alignment horizontal="left" vertical="center" wrapText="1" indent="1" readingOrder="1"/>
    </xf>
    <xf numFmtId="0" fontId="5" fillId="5" borderId="2" xfId="4" applyBorder="1" applyAlignment="1">
      <alignment horizontal="left" vertical="center" wrapText="1" indent="1" readingOrder="1"/>
    </xf>
    <xf numFmtId="0" fontId="1" fillId="6" borderId="2" xfId="5" applyBorder="1" applyAlignment="1">
      <alignment horizontal="left" vertical="center" wrapText="1" indent="1" readingOrder="1"/>
    </xf>
    <xf numFmtId="0" fontId="2" fillId="2" borderId="2" xfId="1" applyBorder="1" applyAlignment="1">
      <alignment horizontal="left" vertical="center" wrapText="1" indent="1" readingOrder="1"/>
    </xf>
    <xf numFmtId="0" fontId="3" fillId="3" borderId="2" xfId="2" applyBorder="1" applyAlignment="1">
      <alignment horizontal="left" vertical="center" wrapText="1" indent="1" readingOrder="1"/>
    </xf>
    <xf numFmtId="0" fontId="4" fillId="4" borderId="1" xfId="3" applyAlignment="1">
      <alignment horizontal="left" vertical="center" wrapText="1" indent="1" readingOrder="1"/>
    </xf>
  </cellXfs>
  <cellStyles count="6">
    <cellStyle name="20% - Accent1" xfId="5" builtinId="30"/>
    <cellStyle name="Accent1" xfId="4" builtinId="29"/>
    <cellStyle name="Bad" xfId="2" builtinId="27"/>
    <cellStyle name="Check Cell" xfId="3" builtinId="23"/>
    <cellStyle name="Good" xfId="1" builtinId="26"/>
    <cellStyle name="Normal" xfId="0" builtinId="0"/>
  </cellStyles>
  <dxfs count="9"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9"/>
        </patternFill>
      </fill>
    </dxf>
    <dxf>
      <fill>
        <patternFill>
          <bgColor rgb="FFFE8076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E807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03066-3C7D-41EC-B09A-1950936FC82A}">
  <dimension ref="A1:G14"/>
  <sheetViews>
    <sheetView workbookViewId="0">
      <selection activeCell="E16" sqref="E16"/>
    </sheetView>
  </sheetViews>
  <sheetFormatPr defaultRowHeight="15" x14ac:dyDescent="0.25"/>
  <cols>
    <col min="1" max="1" width="21.7109375" customWidth="1"/>
    <col min="2" max="2" width="18.42578125" customWidth="1"/>
    <col min="3" max="3" width="15.28515625" customWidth="1"/>
    <col min="4" max="4" width="13.7109375" customWidth="1"/>
    <col min="5" max="5" width="12.42578125" customWidth="1"/>
    <col min="6" max="6" width="15.5703125" customWidth="1"/>
    <col min="7" max="7" width="16.140625" customWidth="1"/>
  </cols>
  <sheetData>
    <row r="1" spans="1:7" ht="50.25" customHeight="1" thickBot="1" x14ac:dyDescent="0.3">
      <c r="A1" s="10" t="s">
        <v>44</v>
      </c>
      <c r="B1" s="3" t="s">
        <v>45</v>
      </c>
      <c r="E1" s="5"/>
      <c r="F1" s="5"/>
    </row>
    <row r="2" spans="1:7" ht="43.5" customHeight="1" thickBot="1" x14ac:dyDescent="0.3">
      <c r="A2" s="10" t="s">
        <v>46</v>
      </c>
      <c r="B2" s="3" t="s">
        <v>47</v>
      </c>
      <c r="E2" s="5"/>
      <c r="F2" s="6"/>
    </row>
    <row r="3" spans="1:7" ht="36.75" customHeight="1" thickBot="1" x14ac:dyDescent="0.3">
      <c r="A3" s="10" t="s">
        <v>48</v>
      </c>
      <c r="B3" s="3" t="s">
        <v>52</v>
      </c>
      <c r="E3" s="5"/>
      <c r="F3" s="6"/>
    </row>
    <row r="4" spans="1:7" ht="29.25" thickBot="1" x14ac:dyDescent="0.3">
      <c r="A4" s="10" t="s">
        <v>49</v>
      </c>
      <c r="B4" s="3" t="s">
        <v>50</v>
      </c>
      <c r="E4" s="5"/>
      <c r="F4" s="6"/>
    </row>
    <row r="5" spans="1:7" ht="15.75" thickBot="1" x14ac:dyDescent="0.3">
      <c r="A5" s="10" t="s">
        <v>51</v>
      </c>
      <c r="B5" s="4">
        <v>46029</v>
      </c>
      <c r="E5" s="5"/>
      <c r="F5" s="6"/>
    </row>
    <row r="6" spans="1:7" x14ac:dyDescent="0.25">
      <c r="E6" s="5"/>
      <c r="F6" s="7"/>
    </row>
    <row r="9" spans="1:7" ht="15.75" thickBot="1" x14ac:dyDescent="0.3"/>
    <row r="10" spans="1:7" ht="15.75" thickBot="1" x14ac:dyDescent="0.3">
      <c r="A10" s="9" t="s">
        <v>53</v>
      </c>
      <c r="B10" s="9" t="s">
        <v>54</v>
      </c>
      <c r="C10" s="9" t="s">
        <v>55</v>
      </c>
      <c r="D10" s="9" t="s">
        <v>62</v>
      </c>
      <c r="E10" s="9" t="s">
        <v>61</v>
      </c>
      <c r="F10" s="9" t="s">
        <v>63</v>
      </c>
      <c r="G10" s="9" t="s">
        <v>56</v>
      </c>
    </row>
    <row r="11" spans="1:7" ht="16.5" thickTop="1" thickBot="1" x14ac:dyDescent="0.3">
      <c r="A11" s="10" t="s">
        <v>57</v>
      </c>
      <c r="B11" s="3">
        <f>COUNTA('01_Leads'!A:A)-1</f>
        <v>7</v>
      </c>
      <c r="C11" s="3">
        <f>COUNTA('01_Leads'!J:J) - 1</f>
        <v>7</v>
      </c>
      <c r="D11" s="11">
        <f>COUNTIF('01_Leads'!J:J, "PASS")</f>
        <v>6</v>
      </c>
      <c r="E11" s="12">
        <f>COUNTIF('01_Leads'!J:J, "FAIL")</f>
        <v>1</v>
      </c>
      <c r="F11" s="13">
        <f>COUNTIF('01_Leads'!J:J, "BLOCKED")</f>
        <v>0</v>
      </c>
      <c r="G11" s="8">
        <f>D11/C11</f>
        <v>0.8571428571428571</v>
      </c>
    </row>
    <row r="12" spans="1:7" ht="16.5" thickTop="1" thickBot="1" x14ac:dyDescent="0.3">
      <c r="A12" s="10" t="s">
        <v>58</v>
      </c>
      <c r="B12" s="3">
        <f>COUNTA('02_Opportunities'!A:A)-1</f>
        <v>4</v>
      </c>
      <c r="C12" s="3">
        <f>COUNTA('02_Opportunities'!J:J) - 1</f>
        <v>4</v>
      </c>
      <c r="D12" s="11">
        <f>COUNTIF('02_Opportunities'!J:J, "PASS")</f>
        <v>4</v>
      </c>
      <c r="E12" s="12">
        <f>COUNTIF('02_Opportunities'!J:J, "FAIL")</f>
        <v>0</v>
      </c>
      <c r="F12" s="13">
        <f>COUNTIF('02_Opportunities'!J:J, "BLOCKED")</f>
        <v>0</v>
      </c>
      <c r="G12" s="8">
        <f t="shared" ref="G12:G14" si="0">D12/C12</f>
        <v>1</v>
      </c>
    </row>
    <row r="13" spans="1:7" ht="15.75" customHeight="1" thickTop="1" thickBot="1" x14ac:dyDescent="0.3">
      <c r="A13" s="10" t="s">
        <v>59</v>
      </c>
      <c r="B13" s="3">
        <f>COUNTA('03_Security'!A:A)-1</f>
        <v>4</v>
      </c>
      <c r="C13" s="3">
        <f>COUNTA('03_Security'!J:J) - 1</f>
        <v>4</v>
      </c>
      <c r="D13" s="11">
        <f>COUNTIF('03_Security'!J:J, "PASS")</f>
        <v>4</v>
      </c>
      <c r="E13" s="12">
        <f>COUNTIF('03_Security'!J:J, "FAIL")</f>
        <v>0</v>
      </c>
      <c r="F13" s="13">
        <f>COUNTIF('03_Security'!J:J, "BLOCKED")</f>
        <v>0</v>
      </c>
      <c r="G13" s="8">
        <f t="shared" si="0"/>
        <v>1</v>
      </c>
    </row>
    <row r="14" spans="1:7" ht="16.5" thickTop="1" thickBot="1" x14ac:dyDescent="0.3">
      <c r="A14" s="10" t="s">
        <v>60</v>
      </c>
      <c r="B14" s="2">
        <f>SUM(B11:B13)</f>
        <v>15</v>
      </c>
      <c r="C14" s="2">
        <f>SUM(C11:C13)</f>
        <v>15</v>
      </c>
      <c r="D14" s="11">
        <f>SUM(D11:D13)</f>
        <v>14</v>
      </c>
      <c r="E14" s="12">
        <f>SUM(E11:E13)</f>
        <v>1</v>
      </c>
      <c r="F14" s="13">
        <f>SUM(F11:F13)</f>
        <v>0</v>
      </c>
      <c r="G14" s="8">
        <f t="shared" si="0"/>
        <v>0.93333333333333335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EC30-1AA9-4DBE-97E8-6DCA4073690E}">
  <dimension ref="A1:K8"/>
  <sheetViews>
    <sheetView tabSelected="1" zoomScaleNormal="100" workbookViewId="0">
      <pane ySplit="1" topLeftCell="A5" activePane="bottomLeft" state="frozen"/>
      <selection pane="bottomLeft" activeCell="I8" sqref="I8"/>
    </sheetView>
  </sheetViews>
  <sheetFormatPr defaultRowHeight="15" x14ac:dyDescent="0.25"/>
  <cols>
    <col min="1" max="1" width="9.140625" style="1"/>
    <col min="2" max="2" width="14.42578125" style="1" customWidth="1"/>
    <col min="3" max="3" width="20.7109375" style="1" customWidth="1"/>
    <col min="4" max="4" width="30.140625" style="1" customWidth="1"/>
    <col min="5" max="5" width="15" style="1" customWidth="1"/>
    <col min="6" max="6" width="24.7109375" style="1" customWidth="1"/>
    <col min="7" max="7" width="34.42578125" style="1" customWidth="1"/>
    <col min="8" max="8" width="17.7109375" style="1" customWidth="1"/>
    <col min="9" max="9" width="19.85546875" style="1" customWidth="1"/>
    <col min="10" max="10" width="18.42578125" style="1" customWidth="1"/>
    <col min="11" max="11" width="23.7109375" style="1" customWidth="1"/>
    <col min="12" max="16384" width="9.140625" style="1"/>
  </cols>
  <sheetData>
    <row r="1" spans="1:11" x14ac:dyDescent="0.25">
      <c r="A1" s="1" t="s">
        <v>0</v>
      </c>
      <c r="B1" s="1" t="s">
        <v>33</v>
      </c>
      <c r="C1" s="1" t="s">
        <v>1</v>
      </c>
      <c r="D1" s="1" t="s">
        <v>2</v>
      </c>
      <c r="E1" s="1" t="s">
        <v>36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71</v>
      </c>
    </row>
    <row r="2" spans="1:11" ht="110.25" customHeight="1" x14ac:dyDescent="0.25">
      <c r="A2" s="1" t="s">
        <v>38</v>
      </c>
      <c r="B2" s="1" t="s">
        <v>34</v>
      </c>
      <c r="C2" s="1" t="s">
        <v>16</v>
      </c>
      <c r="D2" s="1" t="s">
        <v>13</v>
      </c>
      <c r="E2" s="1" t="s">
        <v>37</v>
      </c>
      <c r="F2" s="1" t="s">
        <v>12</v>
      </c>
      <c r="G2" s="1" t="s">
        <v>8</v>
      </c>
      <c r="H2" s="1" t="s">
        <v>9</v>
      </c>
      <c r="I2" s="1" t="s">
        <v>11</v>
      </c>
      <c r="J2" s="1" t="s">
        <v>10</v>
      </c>
    </row>
    <row r="3" spans="1:11" ht="90" x14ac:dyDescent="0.25">
      <c r="A3" s="1" t="s">
        <v>39</v>
      </c>
      <c r="B3" s="1" t="s">
        <v>35</v>
      </c>
      <c r="C3" s="1" t="s">
        <v>15</v>
      </c>
      <c r="D3" s="1" t="s">
        <v>74</v>
      </c>
      <c r="E3" s="1" t="s">
        <v>42</v>
      </c>
      <c r="F3" s="1" t="s">
        <v>19</v>
      </c>
      <c r="G3" s="1" t="s">
        <v>17</v>
      </c>
      <c r="H3" s="1" t="s">
        <v>18</v>
      </c>
      <c r="I3" s="1" t="s">
        <v>20</v>
      </c>
      <c r="J3" s="1" t="s">
        <v>10</v>
      </c>
    </row>
    <row r="4" spans="1:11" ht="105" x14ac:dyDescent="0.25">
      <c r="A4" s="1" t="s">
        <v>40</v>
      </c>
      <c r="B4" s="1" t="s">
        <v>35</v>
      </c>
      <c r="C4" s="1" t="s">
        <v>64</v>
      </c>
      <c r="D4" s="1" t="s">
        <v>75</v>
      </c>
      <c r="E4" s="1" t="s">
        <v>70</v>
      </c>
      <c r="F4" s="1" t="s">
        <v>67</v>
      </c>
      <c r="G4" s="1" t="s">
        <v>65</v>
      </c>
      <c r="H4" s="1" t="s">
        <v>66</v>
      </c>
      <c r="I4" s="1" t="s">
        <v>68</v>
      </c>
      <c r="J4" s="1" t="s">
        <v>69</v>
      </c>
      <c r="K4" s="1" t="s">
        <v>72</v>
      </c>
    </row>
    <row r="5" spans="1:11" ht="90" x14ac:dyDescent="0.25">
      <c r="A5" s="1" t="s">
        <v>41</v>
      </c>
      <c r="B5" s="1" t="s">
        <v>35</v>
      </c>
      <c r="C5" s="1" t="s">
        <v>73</v>
      </c>
      <c r="D5" s="1" t="s">
        <v>76</v>
      </c>
      <c r="E5" s="1" t="s">
        <v>70</v>
      </c>
      <c r="F5" s="1" t="s">
        <v>67</v>
      </c>
      <c r="G5" s="1" t="s">
        <v>77</v>
      </c>
      <c r="H5" s="1" t="s">
        <v>78</v>
      </c>
      <c r="I5" s="1" t="s">
        <v>79</v>
      </c>
      <c r="J5" s="1" t="s">
        <v>10</v>
      </c>
    </row>
    <row r="6" spans="1:11" ht="90" x14ac:dyDescent="0.25">
      <c r="A6" s="1" t="s">
        <v>80</v>
      </c>
      <c r="B6" s="1" t="s">
        <v>34</v>
      </c>
      <c r="C6" s="1" t="s">
        <v>27</v>
      </c>
      <c r="D6" s="1" t="s">
        <v>28</v>
      </c>
      <c r="E6" s="1" t="s">
        <v>42</v>
      </c>
      <c r="F6" s="1" t="s">
        <v>29</v>
      </c>
      <c r="G6" s="1" t="s">
        <v>30</v>
      </c>
      <c r="H6" s="1" t="s">
        <v>31</v>
      </c>
      <c r="I6" s="1" t="s">
        <v>32</v>
      </c>
      <c r="J6" s="1" t="s">
        <v>10</v>
      </c>
    </row>
    <row r="7" spans="1:11" ht="90" x14ac:dyDescent="0.25">
      <c r="A7" s="1" t="s">
        <v>81</v>
      </c>
      <c r="B7" s="1" t="s">
        <v>35</v>
      </c>
      <c r="C7" s="1" t="s">
        <v>82</v>
      </c>
      <c r="D7" s="1" t="s">
        <v>83</v>
      </c>
      <c r="E7" s="1" t="s">
        <v>42</v>
      </c>
      <c r="F7" s="1" t="s">
        <v>29</v>
      </c>
      <c r="G7" s="1" t="s">
        <v>84</v>
      </c>
      <c r="H7" s="1" t="s">
        <v>18</v>
      </c>
      <c r="I7" s="1" t="s">
        <v>20</v>
      </c>
      <c r="J7" s="1" t="s">
        <v>10</v>
      </c>
    </row>
    <row r="8" spans="1:11" ht="165" x14ac:dyDescent="0.25">
      <c r="A8" s="1" t="s">
        <v>85</v>
      </c>
      <c r="B8" s="1" t="s">
        <v>34</v>
      </c>
      <c r="C8" s="1" t="s">
        <v>22</v>
      </c>
      <c r="D8" s="1" t="s">
        <v>23</v>
      </c>
      <c r="F8" s="1" t="s">
        <v>21</v>
      </c>
      <c r="G8" s="1" t="s">
        <v>43</v>
      </c>
      <c r="H8" s="1" t="s">
        <v>24</v>
      </c>
      <c r="I8" s="1" t="s">
        <v>26</v>
      </c>
      <c r="J8" s="1" t="s">
        <v>10</v>
      </c>
    </row>
  </sheetData>
  <conditionalFormatting sqref="A2:XFD304">
    <cfRule type="expression" dxfId="8" priority="1">
      <formula>$J2="Blocked"</formula>
    </cfRule>
    <cfRule type="expression" dxfId="7" priority="2">
      <formula>$J2="Fail"</formula>
    </cfRule>
    <cfRule type="expression" dxfId="6" priority="3">
      <formula>$J2="Pass"</formula>
    </cfRule>
  </conditionalFormatting>
  <dataValidations count="3">
    <dataValidation type="list" allowBlank="1" showInputMessage="1" showErrorMessage="1" sqref="B2:B304" xr:uid="{B8D196E7-5D5C-4EF5-992B-79F8B824B18B}">
      <formula1>"Happy Path,Negative Path"</formula1>
    </dataValidation>
    <dataValidation type="list" allowBlank="1" showInputMessage="1" showErrorMessage="1" sqref="E2:E304" xr:uid="{B1955FC9-88AE-4E06-A21A-BD044C62C203}">
      <formula1>"Critical,High,Medium,Low,Lowest"</formula1>
    </dataValidation>
    <dataValidation type="list" allowBlank="1" showInputMessage="1" showErrorMessage="1" sqref="J2:J304" xr:uid="{3E3E23B7-DD74-47AF-A3E2-026DCBA537BE}">
      <formula1>"Pass,Fail,Blocked"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A33EF-8222-4F57-91EE-E546A9804FD6}">
  <dimension ref="A1:J5"/>
  <sheetViews>
    <sheetView zoomScaleNormal="100" workbookViewId="0">
      <selection activeCell="M301" sqref="M301"/>
    </sheetView>
  </sheetViews>
  <sheetFormatPr defaultRowHeight="15" x14ac:dyDescent="0.25"/>
  <cols>
    <col min="1" max="1" width="9.140625" style="1"/>
    <col min="2" max="2" width="14.42578125" style="1" customWidth="1"/>
    <col min="3" max="3" width="20.7109375" style="1" customWidth="1"/>
    <col min="4" max="4" width="30.140625" style="1" customWidth="1"/>
    <col min="5" max="5" width="15" style="1" customWidth="1"/>
    <col min="6" max="6" width="17.7109375" style="1" customWidth="1"/>
    <col min="7" max="7" width="26.42578125" style="1" customWidth="1"/>
    <col min="8" max="8" width="17.7109375" style="1" customWidth="1"/>
    <col min="9" max="9" width="19.85546875" style="1" customWidth="1"/>
    <col min="10" max="10" width="18.42578125" style="1" customWidth="1"/>
    <col min="11" max="16384" width="9.140625" style="1"/>
  </cols>
  <sheetData>
    <row r="1" spans="1:10" x14ac:dyDescent="0.25">
      <c r="A1" s="1" t="s">
        <v>0</v>
      </c>
      <c r="B1" s="1" t="s">
        <v>33</v>
      </c>
      <c r="C1" s="1" t="s">
        <v>1</v>
      </c>
      <c r="D1" s="1" t="s">
        <v>2</v>
      </c>
      <c r="E1" s="1" t="s">
        <v>36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</row>
    <row r="2" spans="1:10" ht="110.25" customHeight="1" x14ac:dyDescent="0.25">
      <c r="A2" s="1" t="s">
        <v>38</v>
      </c>
      <c r="B2" s="1" t="s">
        <v>34</v>
      </c>
      <c r="C2" s="1" t="s">
        <v>16</v>
      </c>
      <c r="D2" s="1" t="s">
        <v>13</v>
      </c>
      <c r="E2" s="1" t="s">
        <v>37</v>
      </c>
      <c r="F2" s="1" t="s">
        <v>12</v>
      </c>
      <c r="G2" s="1" t="s">
        <v>8</v>
      </c>
      <c r="H2" s="1" t="s">
        <v>9</v>
      </c>
      <c r="I2" s="1" t="s">
        <v>11</v>
      </c>
      <c r="J2" s="1" t="s">
        <v>10</v>
      </c>
    </row>
    <row r="3" spans="1:10" ht="90" x14ac:dyDescent="0.25">
      <c r="A3" s="1" t="s">
        <v>39</v>
      </c>
      <c r="B3" s="1" t="s">
        <v>35</v>
      </c>
      <c r="C3" s="1" t="s">
        <v>15</v>
      </c>
      <c r="D3" s="1" t="s">
        <v>14</v>
      </c>
      <c r="F3" s="1" t="s">
        <v>19</v>
      </c>
      <c r="G3" s="1" t="s">
        <v>17</v>
      </c>
      <c r="H3" s="1" t="s">
        <v>18</v>
      </c>
      <c r="I3" s="1" t="s">
        <v>20</v>
      </c>
      <c r="J3" s="1" t="s">
        <v>10</v>
      </c>
    </row>
    <row r="4" spans="1:10" ht="195" x14ac:dyDescent="0.25">
      <c r="A4" s="1" t="s">
        <v>40</v>
      </c>
      <c r="B4" s="1" t="s">
        <v>34</v>
      </c>
      <c r="C4" s="1" t="s">
        <v>22</v>
      </c>
      <c r="D4" s="1" t="s">
        <v>23</v>
      </c>
      <c r="F4" s="1" t="s">
        <v>21</v>
      </c>
      <c r="G4" s="1" t="s">
        <v>25</v>
      </c>
      <c r="H4" s="1" t="s">
        <v>24</v>
      </c>
      <c r="I4" s="1" t="s">
        <v>26</v>
      </c>
      <c r="J4" s="1" t="s">
        <v>10</v>
      </c>
    </row>
    <row r="5" spans="1:10" ht="120" x14ac:dyDescent="0.25">
      <c r="A5" s="1" t="s">
        <v>41</v>
      </c>
      <c r="C5" s="1" t="s">
        <v>27</v>
      </c>
      <c r="D5" s="1" t="s">
        <v>28</v>
      </c>
      <c r="F5" s="1" t="s">
        <v>29</v>
      </c>
      <c r="G5" s="1" t="s">
        <v>30</v>
      </c>
      <c r="H5" s="1" t="s">
        <v>31</v>
      </c>
      <c r="I5" s="1" t="s">
        <v>32</v>
      </c>
      <c r="J5" s="1" t="s">
        <v>10</v>
      </c>
    </row>
  </sheetData>
  <conditionalFormatting sqref="A2:XFD300">
    <cfRule type="expression" dxfId="5" priority="1">
      <formula>$J2="Blocked"</formula>
    </cfRule>
    <cfRule type="expression" dxfId="4" priority="2">
      <formula>$J2="Fail"</formula>
    </cfRule>
    <cfRule type="expression" dxfId="3" priority="3">
      <formula>$J2="Pass"</formula>
    </cfRule>
  </conditionalFormatting>
  <dataValidations count="3">
    <dataValidation type="list" allowBlank="1" showInputMessage="1" showErrorMessage="1" sqref="E2:E300" xr:uid="{6D525307-0587-4500-A31B-137660A5198B}">
      <formula1>"Critical,High,Medium,Low,Lowest"</formula1>
    </dataValidation>
    <dataValidation type="list" allowBlank="1" showInputMessage="1" showErrorMessage="1" sqref="B2:B300" xr:uid="{06BEDC74-81DD-4214-A080-BBD43F99510A}">
      <formula1>"Happy Path,Negative Path"</formula1>
    </dataValidation>
    <dataValidation type="list" allowBlank="1" showInputMessage="1" showErrorMessage="1" sqref="J2:J300" xr:uid="{B4C8B34B-5951-4803-B286-F3CAB2928C05}">
      <formula1>"Pass,Fail,Blocked"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277C7-8D6A-4AEB-9D4D-E39F721D2360}">
  <dimension ref="A1:J5"/>
  <sheetViews>
    <sheetView topLeftCell="A264" zoomScaleNormal="100" workbookViewId="0">
      <selection activeCell="J300" sqref="J6:J300"/>
    </sheetView>
  </sheetViews>
  <sheetFormatPr defaultRowHeight="15" x14ac:dyDescent="0.25"/>
  <cols>
    <col min="1" max="1" width="9.140625" style="1"/>
    <col min="2" max="2" width="14.42578125" style="1" customWidth="1"/>
    <col min="3" max="3" width="20.7109375" style="1" customWidth="1"/>
    <col min="4" max="4" width="30.140625" style="1" customWidth="1"/>
    <col min="5" max="5" width="15" style="1" customWidth="1"/>
    <col min="6" max="6" width="17.7109375" style="1" customWidth="1"/>
    <col min="7" max="7" width="26.42578125" style="1" customWidth="1"/>
    <col min="8" max="8" width="17.7109375" style="1" customWidth="1"/>
    <col min="9" max="9" width="19.85546875" style="1" customWidth="1"/>
    <col min="10" max="10" width="18.42578125" style="1" customWidth="1"/>
    <col min="11" max="16384" width="9.140625" style="1"/>
  </cols>
  <sheetData>
    <row r="1" spans="1:10" x14ac:dyDescent="0.25">
      <c r="A1" s="1" t="s">
        <v>0</v>
      </c>
      <c r="B1" s="1" t="s">
        <v>33</v>
      </c>
      <c r="C1" s="1" t="s">
        <v>1</v>
      </c>
      <c r="D1" s="1" t="s">
        <v>2</v>
      </c>
      <c r="E1" s="1" t="s">
        <v>36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</row>
    <row r="2" spans="1:10" ht="110.25" customHeight="1" x14ac:dyDescent="0.25">
      <c r="A2" s="1" t="s">
        <v>38</v>
      </c>
      <c r="B2" s="1" t="s">
        <v>34</v>
      </c>
      <c r="C2" s="1" t="s">
        <v>16</v>
      </c>
      <c r="D2" s="1" t="s">
        <v>13</v>
      </c>
      <c r="E2" s="1" t="s">
        <v>37</v>
      </c>
      <c r="F2" s="1" t="s">
        <v>12</v>
      </c>
      <c r="G2" s="1" t="s">
        <v>8</v>
      </c>
      <c r="H2" s="1" t="s">
        <v>9</v>
      </c>
      <c r="I2" s="1" t="s">
        <v>11</v>
      </c>
      <c r="J2" s="1" t="s">
        <v>10</v>
      </c>
    </row>
    <row r="3" spans="1:10" ht="90" x14ac:dyDescent="0.25">
      <c r="A3" s="1" t="s">
        <v>39</v>
      </c>
      <c r="B3" s="1" t="s">
        <v>35</v>
      </c>
      <c r="C3" s="1" t="s">
        <v>15</v>
      </c>
      <c r="D3" s="1" t="s">
        <v>14</v>
      </c>
      <c r="F3" s="1" t="s">
        <v>19</v>
      </c>
      <c r="G3" s="1" t="s">
        <v>17</v>
      </c>
      <c r="H3" s="1" t="s">
        <v>18</v>
      </c>
      <c r="I3" s="1" t="s">
        <v>20</v>
      </c>
      <c r="J3" s="1" t="s">
        <v>10</v>
      </c>
    </row>
    <row r="4" spans="1:10" ht="195" x14ac:dyDescent="0.25">
      <c r="A4" s="1" t="s">
        <v>40</v>
      </c>
      <c r="B4" s="1" t="s">
        <v>34</v>
      </c>
      <c r="C4" s="1" t="s">
        <v>22</v>
      </c>
      <c r="D4" s="1" t="s">
        <v>23</v>
      </c>
      <c r="F4" s="1" t="s">
        <v>21</v>
      </c>
      <c r="G4" s="1" t="s">
        <v>25</v>
      </c>
      <c r="H4" s="1" t="s">
        <v>24</v>
      </c>
      <c r="I4" s="1" t="s">
        <v>26</v>
      </c>
      <c r="J4" s="1" t="s">
        <v>10</v>
      </c>
    </row>
    <row r="5" spans="1:10" ht="120" x14ac:dyDescent="0.25">
      <c r="A5" s="1" t="s">
        <v>41</v>
      </c>
      <c r="C5" s="1" t="s">
        <v>27</v>
      </c>
      <c r="D5" s="1" t="s">
        <v>28</v>
      </c>
      <c r="F5" s="1" t="s">
        <v>29</v>
      </c>
      <c r="G5" s="1" t="s">
        <v>30</v>
      </c>
      <c r="H5" s="1" t="s">
        <v>31</v>
      </c>
      <c r="I5" s="1" t="s">
        <v>32</v>
      </c>
      <c r="J5" s="1" t="s">
        <v>10</v>
      </c>
    </row>
  </sheetData>
  <conditionalFormatting sqref="A2:XFD300">
    <cfRule type="expression" dxfId="2" priority="1">
      <formula>$J2="Blocked"</formula>
    </cfRule>
    <cfRule type="expression" dxfId="1" priority="2">
      <formula>$J2="Fail"</formula>
    </cfRule>
    <cfRule type="expression" dxfId="0" priority="3">
      <formula>$J2="Pass"</formula>
    </cfRule>
  </conditionalFormatting>
  <dataValidations count="3">
    <dataValidation type="list" allowBlank="1" showInputMessage="1" showErrorMessage="1" sqref="E2:E300" xr:uid="{E0FBC8AD-ECF0-4897-AC3B-E5898DBFE47E}">
      <formula1>"Critical,High,Medium,Low,Lowest"</formula1>
    </dataValidation>
    <dataValidation type="list" allowBlank="1" showInputMessage="1" showErrorMessage="1" sqref="B2:B300" xr:uid="{7435E622-2140-47E1-A04F-65791F2ACCE6}">
      <formula1>"Happy Path,Negative Path"</formula1>
    </dataValidation>
    <dataValidation type="list" allowBlank="1" showInputMessage="1" showErrorMessage="1" sqref="J2:J300" xr:uid="{797A0D1E-968E-4AF6-9A87-6B1AD497438E}">
      <formula1>"Pass,Fail,Blocked"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01_Leads</vt:lpstr>
      <vt:lpstr>02_Opportunities</vt:lpstr>
      <vt:lpstr>03_Security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Oktawia Wiczlińska</dc:creator>
  <cp:lastModifiedBy>Oktawia Wiczlińska</cp:lastModifiedBy>
  <dcterms:created xsi:type="dcterms:W3CDTF">2026-01-07T12:10:39Z</dcterms:created>
  <dcterms:modified xsi:type="dcterms:W3CDTF">2026-01-09T15:24:36Z</dcterms:modified>
</cp:coreProperties>
</file>